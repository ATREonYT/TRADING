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&amp;L by scale" sheetId="2" state="visible" r:id="rId2"/>
    <sheet name="Year 1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-"/>
    <numFmt numFmtId="165" formatCode="#,##0;(#,##0);-"/>
    <numFmt numFmtId="166" formatCode="0.0%"/>
    <numFmt numFmtId="167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666666"/>
      <sz val="9"/>
    </font>
    <font>
      <name val="Arial"/>
      <b val="1"/>
      <sz val="11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5" fillId="2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6" fillId="0" borderId="0" pivotButton="0" quotePrefix="0" xfId="0"/>
    <xf numFmtId="167" fontId="4" fillId="0" borderId="0" pivotButton="0" quotePrefix="0" xfId="0"/>
    <xf numFmtId="2" fontId="4" fillId="0" borderId="0" pivotButton="0" quotePrefix="0" xfId="0"/>
    <xf numFmtId="165" fontId="7" fillId="0" borderId="0" pivotButton="0" quotePrefix="0" xfId="0"/>
    <xf numFmtId="164" fontId="7" fillId="0" borderId="0" pivotButton="0" quotePrefix="0" xfId="0"/>
    <xf numFmtId="164" fontId="4" fillId="0" borderId="0" pivotButton="0" quotePrefix="0" xfId="0"/>
    <xf numFmtId="164" fontId="6" fillId="3" borderId="0" pivotButton="0" quotePrefix="0" xfId="0"/>
    <xf numFmtId="166" fontId="4" fillId="0" borderId="0" pivotButton="0" quotePrefix="0" xfId="0"/>
    <xf numFmtId="165" fontId="4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62" customWidth="1" min="3" max="3"/>
  </cols>
  <sheetData>
    <row r="1">
      <c r="A1" s="1" t="inlineStr">
        <is>
          <t>FounderFloor — Financial Model</t>
        </is>
      </c>
    </row>
    <row r="2">
      <c r="A2" s="2" t="inlineStr">
        <is>
          <t>Blue cells = inputs you can edit. Yellow = the levers that matter most. Everything else recalculates.</t>
        </is>
      </c>
    </row>
    <row r="4">
      <c r="A4" s="3" t="inlineStr">
        <is>
          <t>PRICING (chosen from market research)</t>
        </is>
      </c>
    </row>
    <row r="5">
      <c r="A5" s="4" t="inlineStr">
        <is>
          <t>Pro — monthly</t>
        </is>
      </c>
      <c r="B5" s="5" t="n">
        <v>9</v>
      </c>
      <c r="C5" s="2" t="inlineStr">
        <is>
          <t>In-market: Gather Town tier $7/user/mo; CoFoundersLab premium $29.99/mo. Source: gather.town/pricing; coffeespace.com blog, 2026.</t>
        </is>
      </c>
    </row>
    <row r="6">
      <c r="A6" s="4" t="inlineStr">
        <is>
          <t>Pro — annual (per year)</t>
        </is>
      </c>
      <c r="B6" s="6" t="n">
        <v>79</v>
      </c>
      <c r="C6" s="2" t="inlineStr">
        <is>
          <t>About 2.4 months free vs monthly. Annual smooths churn and cash.</t>
        </is>
      </c>
    </row>
    <row r="7">
      <c r="A7" s="4" t="inlineStr">
        <is>
          <t>Founder+ — monthly</t>
        </is>
      </c>
      <c r="B7" s="5" t="n">
        <v>19</v>
      </c>
      <c r="C7" s="2" t="inlineStr">
        <is>
          <t>Just above Gather City tier ($15); well under CoFoundersLab ($29.99).</t>
        </is>
      </c>
    </row>
    <row r="8">
      <c r="A8" s="4" t="inlineStr">
        <is>
          <t>Founder+ — annual (per year)</t>
        </is>
      </c>
      <c r="B8" s="6" t="n">
        <v>159</v>
      </c>
      <c r="C8" s="2" t="inlineStr">
        <is>
          <t>About 3.6 months free vs monthly.</t>
        </is>
      </c>
    </row>
    <row r="9">
      <c r="A9" s="4" t="inlineStr">
        <is>
          <t>Founding Member (one-time, first 100)</t>
        </is>
      </c>
      <c r="B9" s="5" t="n">
        <v>79</v>
      </c>
      <c r="C9" s="2" t="inlineStr">
        <is>
          <t>Beta launch offer: a year of Founder+, price locked, permanent badge.</t>
        </is>
      </c>
    </row>
    <row r="10">
      <c r="A10" s="4" t="inlineStr">
        <is>
          <t>Founding Member units sold (launch)</t>
        </is>
      </c>
      <c r="B10" s="7" t="n">
        <v>60</v>
      </c>
      <c r="C10" s="2" t="inlineStr">
        <is>
          <t>Assumption: 60 of the 100 sell across the first two months. User-set.</t>
        </is>
      </c>
    </row>
    <row r="12">
      <c r="A12" s="3" t="inlineStr">
        <is>
          <t>CONVERSION &amp; MIX</t>
        </is>
      </c>
    </row>
    <row r="13">
      <c r="A13" s="4" t="inlineStr">
        <is>
          <t>Free → paid conversion</t>
        </is>
      </c>
      <c r="B13" s="8" t="n">
        <v>0.03</v>
      </c>
      <c r="C13" s="2" t="inlineStr">
        <is>
          <t>Freemium norm 2–5%; 8% is median of top products. Planned conservatively. Source: First Page Sage, SaaS Freemium Conversion Rates 2026; Guru Startups benchmarks.</t>
        </is>
      </c>
    </row>
    <row r="14">
      <c r="A14" s="4" t="inlineStr">
        <is>
          <t>Payers choosing Pro (vs Founder+)</t>
        </is>
      </c>
      <c r="B14" s="8" t="n">
        <v>0.75</v>
      </c>
      <c r="C14" s="2" t="inlineStr">
        <is>
          <t>Cheaper tier dominates in freemium consumer products. User assumption.</t>
        </is>
      </c>
    </row>
    <row r="15">
      <c r="A15" s="4" t="inlineStr">
        <is>
          <t>Payers choosing annual billing</t>
        </is>
      </c>
      <c r="B15" s="8" t="n">
        <v>0.4</v>
      </c>
      <c r="C15" s="2" t="inlineStr">
        <is>
          <t>User assumption; annual is pushed in the UI.</t>
        </is>
      </c>
    </row>
    <row r="16">
      <c r="A16" s="4" t="inlineStr">
        <is>
          <t>Monthly churn (monthly-billed payers)</t>
        </is>
      </c>
      <c r="B16" s="8" t="n">
        <v>0.06</v>
      </c>
      <c r="C16" s="2" t="inlineStr">
        <is>
          <t>Consumer SaaS norm 5–8%/mo. Annual payers churn at renewal instead.</t>
        </is>
      </c>
    </row>
    <row r="18">
      <c r="A18" s="3" t="inlineStr">
        <is>
          <t>COSTS</t>
        </is>
      </c>
    </row>
    <row r="19">
      <c r="A19" s="4" t="inlineStr">
        <is>
          <t>Domain (per month, $12/yr)</t>
        </is>
      </c>
      <c r="B19" s="6" t="n">
        <v>1</v>
      </c>
      <c r="C19" s="2" t="inlineStr">
        <is>
          <t>Namecheap/porkbun .com ballpark.</t>
        </is>
      </c>
    </row>
    <row r="20">
      <c r="A20" s="4" t="inlineStr">
        <is>
          <t>VPS for floor server (per month)</t>
        </is>
      </c>
      <c r="B20" s="6" t="n">
        <v>6</v>
      </c>
      <c r="C20" s="2" t="inlineStr">
        <is>
          <t>Hetzner/DO small instance runs the ws server comfortably to ~1k concurrent.</t>
        </is>
      </c>
    </row>
    <row r="21">
      <c r="A21" s="4" t="inlineStr">
        <is>
          <t>Stripe fee — % of revenue</t>
        </is>
      </c>
      <c r="B21" s="9" t="n">
        <v>0.029</v>
      </c>
      <c r="C21" s="2" t="inlineStr">
        <is>
          <t>Standard Stripe pricing 2.9% + 30¢ per transaction.</t>
        </is>
      </c>
    </row>
    <row r="22">
      <c r="A22" s="4" t="inlineStr">
        <is>
          <t>Stripe fee — per transaction</t>
        </is>
      </c>
      <c r="B22" s="10" t="n">
        <v>0.3</v>
      </c>
      <c r="C22" s="2" t="inlineStr"/>
    </row>
    <row r="24">
      <c r="A24" s="11" t="inlineStr">
        <is>
          <t>Infrastructure steps by monthly active users (edit thresholds/costs)</t>
        </is>
      </c>
    </row>
    <row r="25">
      <c r="A25" s="11" t="inlineStr">
        <is>
          <t>MAU from</t>
        </is>
      </c>
      <c r="B25" s="11" t="inlineStr">
        <is>
          <t>Infra $/mo</t>
        </is>
      </c>
    </row>
    <row r="26">
      <c r="A26" s="7" t="n">
        <v>0</v>
      </c>
      <c r="B26" s="6" t="n">
        <v>12</v>
      </c>
      <c r="C26" s="2" t="inlineStr">
        <is>
          <t>Web host hobby tier free + VPS + domain + backups</t>
        </is>
      </c>
    </row>
    <row r="27">
      <c r="A27" s="7" t="n">
        <v>1000</v>
      </c>
      <c r="B27" s="6" t="n">
        <v>52</v>
      </c>
      <c r="C27" s="2" t="inlineStr">
        <is>
          <t>Vercel Pro $20 + email service $20 + domain/VPS</t>
        </is>
      </c>
    </row>
    <row r="28">
      <c r="A28" s="7" t="n">
        <v>5000</v>
      </c>
      <c r="B28" s="6" t="n">
        <v>130</v>
      </c>
      <c r="C28" s="2" t="inlineStr">
        <is>
          <t>Bigger VPS $40 + Vercel Pro + email at volume + monitoring</t>
        </is>
      </c>
    </row>
    <row r="30">
      <c r="A30" s="3" t="inlineStr">
        <is>
          <t>DERIVED (formulas — do not edit)</t>
        </is>
      </c>
    </row>
    <row r="31">
      <c r="A31" s="4" t="inlineStr">
        <is>
          <t>Blended revenue per payer per month</t>
        </is>
      </c>
      <c r="B31" s="12">
        <f>$B$14*($B$15*$B$6/12+(1-$B$15)*$B$5)+(1-$B$14)*($B$15*$B$8/12+(1-$B$15)*$B$7)</f>
        <v/>
      </c>
      <c r="C31" s="2" t="inlineStr">
        <is>
          <t>Pro/Founder+ mix x annual/monthly mix.</t>
        </is>
      </c>
    </row>
    <row r="32">
      <c r="A32" s="4" t="inlineStr">
        <is>
          <t>Transactions per payer per month</t>
        </is>
      </c>
      <c r="B32" s="13">
        <f>(1-$B$15)+$B$15/12</f>
        <v/>
      </c>
      <c r="C32" s="2" t="inlineStr">
        <is>
          <t>Monthly payers: 1 charge/mo; annual payers: 1 charge/yr.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Monthly P&amp;L at audience milestones</t>
        </is>
      </c>
    </row>
    <row r="2">
      <c r="A2" s="2" t="inlineStr">
        <is>
          <t>All figures are per month at steady state. MAU row is an input (blue).</t>
        </is>
      </c>
    </row>
    <row r="4">
      <c r="A4" s="11" t="inlineStr">
        <is>
          <t>Monthly active users</t>
        </is>
      </c>
      <c r="B4" s="7" t="n">
        <v>100</v>
      </c>
      <c r="C4" s="7" t="n">
        <v>250</v>
      </c>
      <c r="D4" s="7" t="n">
        <v>500</v>
      </c>
      <c r="E4" s="7" t="n">
        <v>1000</v>
      </c>
      <c r="F4" s="7" t="n">
        <v>2500</v>
      </c>
      <c r="G4" s="7" t="n">
        <v>5000</v>
      </c>
      <c r="H4" s="7" t="n">
        <v>10000</v>
      </c>
    </row>
    <row r="5">
      <c r="A5" s="4" t="inlineStr">
        <is>
          <t>Paying members</t>
        </is>
      </c>
      <c r="B5" s="14">
        <f>ROUND(B4*Assumptions!$B$13,0)</f>
        <v/>
      </c>
      <c r="C5" s="14">
        <f>ROUND(C4*Assumptions!$B$13,0)</f>
        <v/>
      </c>
      <c r="D5" s="14">
        <f>ROUND(D4*Assumptions!$B$13,0)</f>
        <v/>
      </c>
      <c r="E5" s="14">
        <f>ROUND(E4*Assumptions!$B$13,0)</f>
        <v/>
      </c>
      <c r="F5" s="14">
        <f>ROUND(F4*Assumptions!$B$13,0)</f>
        <v/>
      </c>
      <c r="G5" s="14">
        <f>ROUND(G4*Assumptions!$B$13,0)</f>
        <v/>
      </c>
      <c r="H5" s="14">
        <f>ROUND(H4*Assumptions!$B$13,0)</f>
        <v/>
      </c>
    </row>
    <row r="6">
      <c r="A6" s="4" t="inlineStr">
        <is>
          <t>Gross subscription revenue</t>
        </is>
      </c>
      <c r="B6" s="15">
        <f>B5*Assumptions!$B$31</f>
        <v/>
      </c>
      <c r="C6" s="15">
        <f>C5*Assumptions!$B$31</f>
        <v/>
      </c>
      <c r="D6" s="15">
        <f>D5*Assumptions!$B$31</f>
        <v/>
      </c>
      <c r="E6" s="15">
        <f>E5*Assumptions!$B$31</f>
        <v/>
      </c>
      <c r="F6" s="15">
        <f>F5*Assumptions!$B$31</f>
        <v/>
      </c>
      <c r="G6" s="15">
        <f>G5*Assumptions!$B$31</f>
        <v/>
      </c>
      <c r="H6" s="15">
        <f>H5*Assumptions!$B$31</f>
        <v/>
      </c>
    </row>
    <row r="7">
      <c r="A7" s="4" t="inlineStr">
        <is>
          <t>Stripe fees</t>
        </is>
      </c>
      <c r="B7" s="15">
        <f>-(B6*Assumptions!$B$21+B5*Assumptions!$B$32*Assumptions!$B$22)</f>
        <v/>
      </c>
      <c r="C7" s="15">
        <f>-(C6*Assumptions!$B$21+C5*Assumptions!$B$32*Assumptions!$B$22)</f>
        <v/>
      </c>
      <c r="D7" s="15">
        <f>-(D6*Assumptions!$B$21+D5*Assumptions!$B$32*Assumptions!$B$22)</f>
        <v/>
      </c>
      <c r="E7" s="15">
        <f>-(E6*Assumptions!$B$21+E5*Assumptions!$B$32*Assumptions!$B$22)</f>
        <v/>
      </c>
      <c r="F7" s="15">
        <f>-(F6*Assumptions!$B$21+F5*Assumptions!$B$32*Assumptions!$B$22)</f>
        <v/>
      </c>
      <c r="G7" s="15">
        <f>-(G6*Assumptions!$B$21+G5*Assumptions!$B$32*Assumptions!$B$22)</f>
        <v/>
      </c>
      <c r="H7" s="15">
        <f>-(H6*Assumptions!$B$21+H5*Assumptions!$B$32*Assumptions!$B$22)</f>
        <v/>
      </c>
    </row>
    <row r="8">
      <c r="A8" s="4" t="inlineStr">
        <is>
          <t>Net revenue</t>
        </is>
      </c>
      <c r="B8" s="16">
        <f>B6+B7</f>
        <v/>
      </c>
      <c r="C8" s="16">
        <f>C6+C7</f>
        <v/>
      </c>
      <c r="D8" s="16">
        <f>D6+D7</f>
        <v/>
      </c>
      <c r="E8" s="16">
        <f>E6+E7</f>
        <v/>
      </c>
      <c r="F8" s="16">
        <f>F6+F7</f>
        <v/>
      </c>
      <c r="G8" s="16">
        <f>G6+G7</f>
        <v/>
      </c>
      <c r="H8" s="16">
        <f>H6+H7</f>
        <v/>
      </c>
    </row>
    <row r="9">
      <c r="A9" s="4" t="inlineStr">
        <is>
          <t>Infrastructure</t>
        </is>
      </c>
      <c r="B9" s="15">
        <f>-INDEX(Assumptions!$B$26:$B$28,MATCH(B4,Assumptions!$A$26:$A$28,1))</f>
        <v/>
      </c>
      <c r="C9" s="15">
        <f>-INDEX(Assumptions!$B$26:$B$28,MATCH(C4,Assumptions!$A$26:$A$28,1))</f>
        <v/>
      </c>
      <c r="D9" s="15">
        <f>-INDEX(Assumptions!$B$26:$B$28,MATCH(D4,Assumptions!$A$26:$A$28,1))</f>
        <v/>
      </c>
      <c r="E9" s="15">
        <f>-INDEX(Assumptions!$B$26:$B$28,MATCH(E4,Assumptions!$A$26:$A$28,1))</f>
        <v/>
      </c>
      <c r="F9" s="15">
        <f>-INDEX(Assumptions!$B$26:$B$28,MATCH(F4,Assumptions!$A$26:$A$28,1))</f>
        <v/>
      </c>
      <c r="G9" s="15">
        <f>-INDEX(Assumptions!$B$26:$B$28,MATCH(G4,Assumptions!$A$26:$A$28,1))</f>
        <v/>
      </c>
      <c r="H9" s="15">
        <f>-INDEX(Assumptions!$B$26:$B$28,MATCH(H4,Assumptions!$A$26:$A$28,1))</f>
        <v/>
      </c>
    </row>
    <row r="10">
      <c r="A10" s="11" t="inlineStr">
        <is>
          <t>Profit / month</t>
        </is>
      </c>
      <c r="B10" s="17">
        <f>B8+B9</f>
        <v/>
      </c>
      <c r="C10" s="17">
        <f>C8+C9</f>
        <v/>
      </c>
      <c r="D10" s="17">
        <f>D8+D9</f>
        <v/>
      </c>
      <c r="E10" s="17">
        <f>E8+E9</f>
        <v/>
      </c>
      <c r="F10" s="17">
        <f>F8+F9</f>
        <v/>
      </c>
      <c r="G10" s="17">
        <f>G8+G9</f>
        <v/>
      </c>
      <c r="H10" s="17">
        <f>H8+H9</f>
        <v/>
      </c>
    </row>
    <row r="11">
      <c r="A11" s="4" t="inlineStr">
        <is>
          <t>Margin</t>
        </is>
      </c>
      <c r="B11" s="18">
        <f>IF(B6=0,0,B10/B6)</f>
        <v/>
      </c>
      <c r="C11" s="18">
        <f>IF(C6=0,0,C10/C6)</f>
        <v/>
      </c>
      <c r="D11" s="18">
        <f>IF(D6=0,0,D10/D6)</f>
        <v/>
      </c>
      <c r="E11" s="18">
        <f>IF(E6=0,0,E10/E6)</f>
        <v/>
      </c>
      <c r="F11" s="18">
        <f>IF(F6=0,0,F10/F6)</f>
        <v/>
      </c>
      <c r="G11" s="18">
        <f>IF(G6=0,0,G10/G6)</f>
        <v/>
      </c>
      <c r="H11" s="18">
        <f>IF(H6=0,0,H10/H6)</f>
        <v/>
      </c>
    </row>
    <row r="13">
      <c r="A13" s="3" t="inlineStr">
        <is>
          <t>Break-even</t>
        </is>
      </c>
    </row>
    <row r="14">
      <c r="A14" s="4" t="inlineStr">
        <is>
          <t>Payers needed to cover base infra</t>
        </is>
      </c>
      <c r="B14" s="14">
        <f>ROUNDUP(Assumptions!$B$26/ (Assumptions!$B$31*(1-Assumptions!$B$21)-Assumptions!$B$32*Assumptions!$B$22),0)</f>
        <v/>
      </c>
    </row>
    <row r="15">
      <c r="A15" s="4" t="inlineStr">
        <is>
          <t>MAU needed at planned conversion</t>
        </is>
      </c>
      <c r="B15" s="19">
        <f>ROUNDUP(B14/Assumptions!$B$13,0)</f>
        <v/>
      </c>
      <c r="C15" s="2" t="inlineStr">
        <is>
          <t>← the whole game: pass this many actives and the lights stay 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34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>
      <c r="A1" s="1" t="inlineStr">
        <is>
          <t>Year 1 monthly plan</t>
        </is>
      </c>
    </row>
    <row r="2">
      <c r="A2" s="2" t="inlineStr">
        <is>
          <t>MAU curve is an input (blue) — a beta wave then steady word-of-mouth. Founding Member sales land in months 1–2.</t>
        </is>
      </c>
    </row>
    <row r="4">
      <c r="A4" s="11" t="inlineStr">
        <is>
          <t>Month</t>
        </is>
      </c>
      <c r="B4" s="11" t="inlineStr">
        <is>
          <t>M1</t>
        </is>
      </c>
      <c r="C4" s="11" t="inlineStr">
        <is>
          <t>M2</t>
        </is>
      </c>
      <c r="D4" s="11" t="inlineStr">
        <is>
          <t>M3</t>
        </is>
      </c>
      <c r="E4" s="11" t="inlineStr">
        <is>
          <t>M4</t>
        </is>
      </c>
      <c r="F4" s="11" t="inlineStr">
        <is>
          <t>M5</t>
        </is>
      </c>
      <c r="G4" s="11" t="inlineStr">
        <is>
          <t>M6</t>
        </is>
      </c>
      <c r="H4" s="11" t="inlineStr">
        <is>
          <t>M7</t>
        </is>
      </c>
      <c r="I4" s="11" t="inlineStr">
        <is>
          <t>M8</t>
        </is>
      </c>
      <c r="J4" s="11" t="inlineStr">
        <is>
          <t>M9</t>
        </is>
      </c>
      <c r="K4" s="11" t="inlineStr">
        <is>
          <t>M10</t>
        </is>
      </c>
      <c r="L4" s="11" t="inlineStr">
        <is>
          <t>M11</t>
        </is>
      </c>
      <c r="M4" s="11" t="inlineStr">
        <is>
          <t>M12</t>
        </is>
      </c>
    </row>
    <row r="5">
      <c r="A5" s="4" t="inlineStr">
        <is>
          <t>Monthly active users</t>
        </is>
      </c>
      <c r="B5" s="7" t="n">
        <v>60</v>
      </c>
      <c r="C5" s="7" t="n">
        <v>120</v>
      </c>
      <c r="D5" s="7" t="n">
        <v>200</v>
      </c>
      <c r="E5" s="7" t="n">
        <v>300</v>
      </c>
      <c r="F5" s="7" t="n">
        <v>420</v>
      </c>
      <c r="G5" s="7" t="n">
        <v>560</v>
      </c>
      <c r="H5" s="7" t="n">
        <v>720</v>
      </c>
      <c r="I5" s="7" t="n">
        <v>900</v>
      </c>
      <c r="J5" s="7" t="n">
        <v>1100</v>
      </c>
      <c r="K5" s="7" t="n">
        <v>1350</v>
      </c>
      <c r="L5" s="7" t="n">
        <v>1650</v>
      </c>
      <c r="M5" s="7" t="n">
        <v>2000</v>
      </c>
    </row>
    <row r="6">
      <c r="A6" s="4" t="inlineStr">
        <is>
          <t>Founding Member sales (units)</t>
        </is>
      </c>
      <c r="B6" s="7" t="n">
        <v>40</v>
      </c>
      <c r="C6" s="7" t="n">
        <v>20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</row>
    <row r="7">
      <c r="A7" s="4" t="inlineStr">
        <is>
          <t>Founding Member revenue</t>
        </is>
      </c>
      <c r="B7" s="15">
        <f>B6*Assumptions!$B$9</f>
        <v/>
      </c>
      <c r="C7" s="15">
        <f>C6*Assumptions!$B$9</f>
        <v/>
      </c>
      <c r="D7" s="15">
        <f>D6*Assumptions!$B$9</f>
        <v/>
      </c>
      <c r="E7" s="15">
        <f>E6*Assumptions!$B$9</f>
        <v/>
      </c>
      <c r="F7" s="15">
        <f>F6*Assumptions!$B$9</f>
        <v/>
      </c>
      <c r="G7" s="15">
        <f>G6*Assumptions!$B$9</f>
        <v/>
      </c>
      <c r="H7" s="15">
        <f>H6*Assumptions!$B$9</f>
        <v/>
      </c>
      <c r="I7" s="15">
        <f>I6*Assumptions!$B$9</f>
        <v/>
      </c>
      <c r="J7" s="15">
        <f>J6*Assumptions!$B$9</f>
        <v/>
      </c>
      <c r="K7" s="15">
        <f>K6*Assumptions!$B$9</f>
        <v/>
      </c>
      <c r="L7" s="15">
        <f>L6*Assumptions!$B$9</f>
        <v/>
      </c>
      <c r="M7" s="15">
        <f>M6*Assumptions!$B$9</f>
        <v/>
      </c>
    </row>
    <row r="8">
      <c r="A8" s="4" t="inlineStr">
        <is>
          <t>Paying members</t>
        </is>
      </c>
      <c r="B8" s="14">
        <f>ROUND(B5*Assumptions!$B$13,0)</f>
        <v/>
      </c>
      <c r="C8" s="14">
        <f>ROUND(C5*Assumptions!$B$13,0)</f>
        <v/>
      </c>
      <c r="D8" s="14">
        <f>ROUND(D5*Assumptions!$B$13,0)</f>
        <v/>
      </c>
      <c r="E8" s="14">
        <f>ROUND(E5*Assumptions!$B$13,0)</f>
        <v/>
      </c>
      <c r="F8" s="14">
        <f>ROUND(F5*Assumptions!$B$13,0)</f>
        <v/>
      </c>
      <c r="G8" s="14">
        <f>ROUND(G5*Assumptions!$B$13,0)</f>
        <v/>
      </c>
      <c r="H8" s="14">
        <f>ROUND(H5*Assumptions!$B$13,0)</f>
        <v/>
      </c>
      <c r="I8" s="14">
        <f>ROUND(I5*Assumptions!$B$13,0)</f>
        <v/>
      </c>
      <c r="J8" s="14">
        <f>ROUND(J5*Assumptions!$B$13,0)</f>
        <v/>
      </c>
      <c r="K8" s="14">
        <f>ROUND(K5*Assumptions!$B$13,0)</f>
        <v/>
      </c>
      <c r="L8" s="14">
        <f>ROUND(L5*Assumptions!$B$13,0)</f>
        <v/>
      </c>
      <c r="M8" s="14">
        <f>ROUND(M5*Assumptions!$B$13,0)</f>
        <v/>
      </c>
    </row>
    <row r="9">
      <c r="A9" s="4" t="inlineStr">
        <is>
          <t>Subscription revenue</t>
        </is>
      </c>
      <c r="B9" s="15">
        <f>B8*Assumptions!$B$31</f>
        <v/>
      </c>
      <c r="C9" s="15">
        <f>C8*Assumptions!$B$31</f>
        <v/>
      </c>
      <c r="D9" s="15">
        <f>D8*Assumptions!$B$31</f>
        <v/>
      </c>
      <c r="E9" s="15">
        <f>E8*Assumptions!$B$31</f>
        <v/>
      </c>
      <c r="F9" s="15">
        <f>F8*Assumptions!$B$31</f>
        <v/>
      </c>
      <c r="G9" s="15">
        <f>G8*Assumptions!$B$31</f>
        <v/>
      </c>
      <c r="H9" s="15">
        <f>H8*Assumptions!$B$31</f>
        <v/>
      </c>
      <c r="I9" s="15">
        <f>I8*Assumptions!$B$31</f>
        <v/>
      </c>
      <c r="J9" s="15">
        <f>J8*Assumptions!$B$31</f>
        <v/>
      </c>
      <c r="K9" s="15">
        <f>K8*Assumptions!$B$31</f>
        <v/>
      </c>
      <c r="L9" s="15">
        <f>L8*Assumptions!$B$31</f>
        <v/>
      </c>
      <c r="M9" s="15">
        <f>M8*Assumptions!$B$31</f>
        <v/>
      </c>
    </row>
    <row r="10">
      <c r="A10" s="4" t="inlineStr">
        <is>
          <t>Stripe fees</t>
        </is>
      </c>
      <c r="B10" s="15">
        <f>-((B7+B9)*Assumptions!$B$21+(B8*Assumptions!$B$32+B6)*Assumptions!$B$22)</f>
        <v/>
      </c>
      <c r="C10" s="15">
        <f>-((C7+C9)*Assumptions!$B$21+(C8*Assumptions!$B$32+C6)*Assumptions!$B$22)</f>
        <v/>
      </c>
      <c r="D10" s="15">
        <f>-((D7+D9)*Assumptions!$B$21+(D8*Assumptions!$B$32+D6)*Assumptions!$B$22)</f>
        <v/>
      </c>
      <c r="E10" s="15">
        <f>-((E7+E9)*Assumptions!$B$21+(E8*Assumptions!$B$32+E6)*Assumptions!$B$22)</f>
        <v/>
      </c>
      <c r="F10" s="15">
        <f>-((F7+F9)*Assumptions!$B$21+(F8*Assumptions!$B$32+F6)*Assumptions!$B$22)</f>
        <v/>
      </c>
      <c r="G10" s="15">
        <f>-((G7+G9)*Assumptions!$B$21+(G8*Assumptions!$B$32+G6)*Assumptions!$B$22)</f>
        <v/>
      </c>
      <c r="H10" s="15">
        <f>-((H7+H9)*Assumptions!$B$21+(H8*Assumptions!$B$32+H6)*Assumptions!$B$22)</f>
        <v/>
      </c>
      <c r="I10" s="15">
        <f>-((I7+I9)*Assumptions!$B$21+(I8*Assumptions!$B$32+I6)*Assumptions!$B$22)</f>
        <v/>
      </c>
      <c r="J10" s="15">
        <f>-((J7+J9)*Assumptions!$B$21+(J8*Assumptions!$B$32+J6)*Assumptions!$B$22)</f>
        <v/>
      </c>
      <c r="K10" s="15">
        <f>-((K7+K9)*Assumptions!$B$21+(K8*Assumptions!$B$32+K6)*Assumptions!$B$22)</f>
        <v/>
      </c>
      <c r="L10" s="15">
        <f>-((L7+L9)*Assumptions!$B$21+(L8*Assumptions!$B$32+L6)*Assumptions!$B$22)</f>
        <v/>
      </c>
      <c r="M10" s="15">
        <f>-((M7+M9)*Assumptions!$B$21+(M8*Assumptions!$B$32+M6)*Assumptions!$B$22)</f>
        <v/>
      </c>
    </row>
    <row r="11">
      <c r="A11" s="4" t="inlineStr">
        <is>
          <t>Infrastructure</t>
        </is>
      </c>
      <c r="B11" s="15">
        <f>-INDEX(Assumptions!$B$26:$B$28,MATCH(B5,Assumptions!$A$26:$A$28,1))</f>
        <v/>
      </c>
      <c r="C11" s="15">
        <f>-INDEX(Assumptions!$B$26:$B$28,MATCH(C5,Assumptions!$A$26:$A$28,1))</f>
        <v/>
      </c>
      <c r="D11" s="15">
        <f>-INDEX(Assumptions!$B$26:$B$28,MATCH(D5,Assumptions!$A$26:$A$28,1))</f>
        <v/>
      </c>
      <c r="E11" s="15">
        <f>-INDEX(Assumptions!$B$26:$B$28,MATCH(E5,Assumptions!$A$26:$A$28,1))</f>
        <v/>
      </c>
      <c r="F11" s="15">
        <f>-INDEX(Assumptions!$B$26:$B$28,MATCH(F5,Assumptions!$A$26:$A$28,1))</f>
        <v/>
      </c>
      <c r="G11" s="15">
        <f>-INDEX(Assumptions!$B$26:$B$28,MATCH(G5,Assumptions!$A$26:$A$28,1))</f>
        <v/>
      </c>
      <c r="H11" s="15">
        <f>-INDEX(Assumptions!$B$26:$B$28,MATCH(H5,Assumptions!$A$26:$A$28,1))</f>
        <v/>
      </c>
      <c r="I11" s="15">
        <f>-INDEX(Assumptions!$B$26:$B$28,MATCH(I5,Assumptions!$A$26:$A$28,1))</f>
        <v/>
      </c>
      <c r="J11" s="15">
        <f>-INDEX(Assumptions!$B$26:$B$28,MATCH(J5,Assumptions!$A$26:$A$28,1))</f>
        <v/>
      </c>
      <c r="K11" s="15">
        <f>-INDEX(Assumptions!$B$26:$B$28,MATCH(K5,Assumptions!$A$26:$A$28,1))</f>
        <v/>
      </c>
      <c r="L11" s="15">
        <f>-INDEX(Assumptions!$B$26:$B$28,MATCH(L5,Assumptions!$A$26:$A$28,1))</f>
        <v/>
      </c>
      <c r="M11" s="15">
        <f>-INDEX(Assumptions!$B$26:$B$28,MATCH(M5,Assumptions!$A$26:$A$28,1))</f>
        <v/>
      </c>
    </row>
    <row r="12">
      <c r="A12" s="11" t="inlineStr">
        <is>
          <t>Profit / month</t>
        </is>
      </c>
      <c r="B12" s="17">
        <f>B7+B9+B10+B11</f>
        <v/>
      </c>
      <c r="C12" s="17">
        <f>C7+C9+C10+C11</f>
        <v/>
      </c>
      <c r="D12" s="17">
        <f>D7+D9+D10+D11</f>
        <v/>
      </c>
      <c r="E12" s="17">
        <f>E7+E9+E10+E11</f>
        <v/>
      </c>
      <c r="F12" s="17">
        <f>F7+F9+F10+F11</f>
        <v/>
      </c>
      <c r="G12" s="17">
        <f>G7+G9+G10+G11</f>
        <v/>
      </c>
      <c r="H12" s="17">
        <f>H7+H9+H10+H11</f>
        <v/>
      </c>
      <c r="I12" s="17">
        <f>I7+I9+I10+I11</f>
        <v/>
      </c>
      <c r="J12" s="17">
        <f>J7+J9+J10+J11</f>
        <v/>
      </c>
      <c r="K12" s="17">
        <f>K7+K9+K10+K11</f>
        <v/>
      </c>
      <c r="L12" s="17">
        <f>L7+L9+L10+L11</f>
        <v/>
      </c>
      <c r="M12" s="17">
        <f>M7+M9+M10+M11</f>
        <v/>
      </c>
    </row>
    <row r="13">
      <c r="A13" s="11" t="inlineStr">
        <is>
          <t>Cumulative cash</t>
        </is>
      </c>
      <c r="B13" s="20">
        <f>B12</f>
        <v/>
      </c>
      <c r="C13" s="20">
        <f>B13+C12</f>
        <v/>
      </c>
      <c r="D13" s="20">
        <f>C13+D12</f>
        <v/>
      </c>
      <c r="E13" s="20">
        <f>D13+E12</f>
        <v/>
      </c>
      <c r="F13" s="20">
        <f>E13+F12</f>
        <v/>
      </c>
      <c r="G13" s="20">
        <f>F13+G12</f>
        <v/>
      </c>
      <c r="H13" s="20">
        <f>G13+H12</f>
        <v/>
      </c>
      <c r="I13" s="20">
        <f>H13+I12</f>
        <v/>
      </c>
      <c r="J13" s="20">
        <f>I13+J12</f>
        <v/>
      </c>
      <c r="K13" s="20">
        <f>J13+K12</f>
        <v/>
      </c>
      <c r="L13" s="20">
        <f>K13+L12</f>
        <v/>
      </c>
      <c r="M13" s="20">
        <f>L13+M12</f>
        <v/>
      </c>
    </row>
    <row r="15">
      <c r="A15" s="3" t="inlineStr">
        <is>
          <t>Notes</t>
        </is>
      </c>
    </row>
    <row r="16">
      <c r="A16" s="2" t="inlineStr">
        <is>
          <t>• Every month is profitable because fixed costs are tiny ($12/mo base) — the risk is audience, not burn.</t>
        </is>
      </c>
    </row>
    <row r="17">
      <c r="A17" s="2" t="inlineStr">
        <is>
          <t>• Founding Member sales are one-time cash to cover a year of infra up front and seed the community.</t>
        </is>
      </c>
    </row>
    <row r="18">
      <c r="A18" s="2" t="inlineStr">
        <is>
          <t>• Churn is inside the flat conversion rate here (payers = MAU x rate at each month's size).</t>
        </is>
      </c>
    </row>
    <row r="19">
      <c r="A19" s="2" t="inlineStr">
        <is>
          <t>• MAU curve is a target, not a forecast — edit the blue row to your reality each month.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2026-07-18T06:09:55Z</dcterms:created>
  <dcterms:modified xsi:type="dcterms:W3CDTF">2026-07-18T06:09:55Z</dcterms:modified>
</cp:coreProperties>
</file>